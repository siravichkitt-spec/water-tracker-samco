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1eb0dc234848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2ac9a5d1a7343fa"/>
    <x:sheet xmlns:r="http://schemas.openxmlformats.org/officeDocument/2006/relationships" name="Source Registry" sheetId="2" r:id="R248be8f0099a4a0d"/>
    <x:sheet xmlns:r="http://schemas.openxmlformats.org/officeDocument/2006/relationships" name="Security Checks" sheetId="3" r:id="Re7258b719a694bbd"/>
  </x:sheets>
</x:workbook>
</file>

<file path=xl/comments1.xml><?xml version="1.0" encoding="utf-8"?>
<x:comments xmlns:x="http://schemas.openxmlformats.org/spreadsheetml/2006/main">
  <x:authors>
    <x:author>tc={877874E3-4B91-6EF3-2104-BECEBD501ED4}</x:author>
    <x:author>tc={CA40F40A-B08B-8F0C-C4B3-971C7D3A8C17}</x:author>
  </x:authors>
  <x:commentList>
    <x:comment ref="J10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Formula-driven source comparison. SOURCE_NEWER is acceptable only within the station cadence; it means ThaiWater published after the latest completed poll.</x:t>
        </x:r>
      </x:text>
    </x:comment>
    <x:comment ref="P1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Freshness rule: LIVE &lt;= observed cadence × LIVE multiplier; DELAYED &lt;= observed cadence × DELAYED multiplier; otherwise STALE.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 hh:mm"/>
    <x:numFmt numFmtId="201" formatCode="0.00"/>
    <x:numFmt numFmtId="202" formatCode="0.0"/>
    <x:numFmt numFmtId="203" formatCode="yyyy-mm-dd hh:mm:ss"/>
  </x:numFmts>
  <x:fonts count="12">
    <x:font>
      <x:sz val="11"/>
      <x:name val="Carlito"/>
    </x:font>
    <x:font>
      <x:b/>
      <x:sz val="18"/>
      <x:color rgb="FFF8FAFC"/>
      <x:name val="Carlito"/>
    </x:font>
    <x:font>
      <x:sz val="11"/>
      <x:color rgb="FF0C4A6E"/>
      <x:name val="Carlito"/>
    </x:font>
    <x:font>
      <x:sz val="11"/>
      <x:color rgb="FF78350F"/>
      <x:name val="Carlito"/>
    </x:font>
    <x:font>
      <x:b/>
      <x:sz val="11"/>
      <x:color rgb="FFF8FAFC"/>
      <x:name val="Carlito"/>
    </x:font>
    <x:font>
      <x:b/>
      <x:sz val="10"/>
      <x:color rgb="FFF8FAFC"/>
      <x:name val="Aptos"/>
    </x:font>
    <x:font>
      <x:sz val="10"/>
      <x:color rgb="FF0C4A6E"/>
      <x:name val="Aptos"/>
    </x:font>
    <x:font>
      <x:sz val="10"/>
      <x:color rgb="FF78350F"/>
      <x:name val="Aptos"/>
    </x:font>
    <x:font>
      <x:sz val="10"/>
      <x:name val="Aptos"/>
    </x:font>
    <x:font>
      <x:b/>
      <x:sz val="18"/>
      <x:color rgb="FFF8FAFC"/>
      <x:name val="Aptos Display"/>
    </x:font>
    <x:font>
      <x:b/>
      <x:sz val="11"/>
      <x:color rgb="FF166534"/>
      <x:name val="Carlito"/>
    </x:font>
    <x:font>
      <x:b/>
      <x:sz val="10"/>
      <x:color rgb="FF166534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E0F2FE"/>
      </x:patternFill>
    </x:fill>
    <x:fill>
      <x:patternFill patternType="solid">
        <x:fgColor rgb="FFFEF3C7"/>
      </x:patternFill>
    </x:fill>
    <x:fill>
      <x:patternFill patternType="solid">
        <x:fgColor rgb="FF1E3A5F"/>
      </x:patternFill>
    </x:fill>
    <x:fill>
      <x:patternFill patternType="solid">
        <x:fgColor rgb="FF131C2E"/>
      </x:patternFill>
    </x:fill>
    <x:fill>
      <x:patternFill patternType="solid">
        <x:fgColor rgb="FFDCFCE7"/>
      </x:patternFill>
    </x:fill>
  </x:fills>
  <x:borders count="8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200" fontId="0" fillId="0" borderId="7" xfId="0" applyNumberFormat="1" applyFont="1" applyFill="1" applyBorder="1" applyAlignment="1">
      <x:alignment vertical="top" wrapText="1"/>
    </x:xf>
    <x:xf numFmtId="201" fontId="0" fillId="0" borderId="7" xfId="0" applyNumberFormat="1" applyFont="1" applyFill="1" applyBorder="1" applyAlignment="1">
      <x:alignment vertical="top" wrapText="1"/>
    </x:xf>
    <x:xf numFmtId="202" fontId="0" fillId="0" borderId="7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5" fillId="5" borderId="1" xfId="0" applyNumberFormat="1" applyFont="1" applyFill="1" applyBorder="1" applyAlignment="1">
      <x:alignment vertical="center" wrapText="1"/>
    </x:xf>
    <x:xf numFmtId="0" fontId="5" fillId="5" borderId="2" xfId="0" applyNumberFormat="1" applyFont="1" applyFill="1" applyBorder="1" applyAlignment="1">
      <x:alignment vertical="center" wrapText="1"/>
    </x:xf>
    <x:xf numFmtId="0" fontId="8" fillId="0" borderId="3" xfId="0" applyNumberFormat="1" applyFont="1" applyFill="1" applyBorder="1"/>
    <x:xf numFmtId="0" fontId="8" fillId="0" borderId="4" xfId="0" applyNumberFormat="1" applyFont="1" applyFill="1" applyBorder="1"/>
    <x:xf numFmtId="0" fontId="8" fillId="0" borderId="5" xfId="0" applyNumberFormat="1" applyFont="1" applyFill="1" applyBorder="1"/>
    <x:xf numFmtId="0" fontId="8" fillId="0" borderId="6" xfId="0" applyNumberFormat="1" applyFont="1" applyFill="1" applyBorder="1"/>
    <x:xf numFmtId="0" fontId="5" fillId="5" borderId="7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7" xfId="0" applyNumberFormat="1" applyFont="1" applyFill="1" applyBorder="1" applyAlignment="1">
      <x:alignment vertical="top" wrapText="1"/>
    </x:xf>
    <x:xf numFmtId="200" fontId="8" fillId="0" borderId="7" xfId="0" applyNumberFormat="1" applyFont="1" applyFill="1" applyBorder="1" applyAlignment="1">
      <x:alignment vertical="top" wrapText="1"/>
    </x:xf>
    <x:xf numFmtId="201" fontId="8" fillId="0" borderId="7" xfId="0" applyNumberFormat="1" applyFont="1" applyFill="1" applyBorder="1" applyAlignment="1">
      <x:alignment vertical="top" wrapText="1"/>
    </x:xf>
    <x:xf numFmtId="202" fontId="8" fillId="0" borderId="7" xfId="0" applyNumberFormat="1" applyFont="1" applyFill="1" applyBorder="1" applyAlignment="1">
      <x:alignment vertical="top" wrapText="1"/>
    </x:xf>
    <x:xf numFmtId="0" fontId="9" fillId="2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7" xfId="0" applyNumberFormat="1" applyFont="1" applyFill="1" applyBorder="1" applyAlignment="1">
      <x:alignment vertical="top" wrapText="1"/>
    </x:xf>
    <x:xf numFmtId="203" fontId="8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7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6" fillId="3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7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11" fillId="7" borderId="0" xfId="0" applyNumberFormat="1" applyFont="1" applyFill="1" applyBorder="1"/>
  </x:cellXfs>
  <x:cellStyles count="1">
    <x:cellStyle name="Normal" xfId="0"/>
  </x:cellStyles>
  <x:dxfs count="10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faeda4e2924077" /><Relationship Type="http://schemas.openxmlformats.org/officeDocument/2006/relationships/theme" Target="/xl/theme/theme1.xml" Id="R10ec95e937ba46fa" /><Relationship Type="http://schemas.openxmlformats.org/officeDocument/2006/relationships/sharedStrings" Target="/xl/sharedStrings.xml" Id="R6ffc13a4b42749ef" /><Relationship Type="http://schemas.openxmlformats.org/officeDocument/2006/relationships/worksheet" Target="/xl/worksheets/sheet1.xml" Id="R12ac9a5d1a7343fa" /><Relationship Type="http://schemas.openxmlformats.org/officeDocument/2006/relationships/worksheet" Target="/xl/worksheets/sheet2.xml" Id="R248be8f0099a4a0d" /><Relationship Type="http://schemas.openxmlformats.org/officeDocument/2006/relationships/worksheet" Target="/xl/worksheets/sheet3.xml" Id="Re7258b719a694bbd" /><Relationship Type="http://schemas.microsoft.com/office/2017/10/relationships/person" Target="/xl/persons/person.xml" Id="Rebba2f2b79df41dd" /></Relationships>
</file>

<file path=xl/persons/person.xml><?xml version="1.0" encoding="utf-8"?>
<xltc:personList xmlns:xltc="http://schemas.microsoft.com/office/spreadsheetml/2018/threadedcomments">
  <xltc:person displayName="Siravich Kittharnthong" id="{25A722A8-D2CF-4F58-AB5C-0DF0FC87DD88}"/>
</xltc:personList>
</file>

<file path=xl/tables/table1.xml><?xml version="1.0" encoding="utf-8"?>
<x:table xmlns:x="http://schemas.openxmlformats.org/spreadsheetml/2006/main" id="1" name="WaterSourceRegistry" displayName="WaterSourceRegistry" ref="A9:U14" headerRowCount="1" totalsRowCount="0" totalsRowShown="0">
  <x:tableColumns count="21">
    <x:tableColumn id="1" name="Site ID"/>
    <x:tableColumn id="2" name="Site"/>
    <x:tableColumn id="3" name="River"/>
    <x:tableColumn id="4" name="Station Code"/>
    <x:tableColumn id="5" name="Station ID"/>
    <x:tableColumn id="6" name="DB measured UTC"/>
    <x:tableColumn id="7" name="DB WL MSL"/>
    <x:tableColumn id="8" name="Source measured UTC"/>
    <x:tableColumn id="9" name="Source WL MSL"/>
    <x:tableColumn id="10" name="Sync status"/>
    <x:tableColumn id="11" name="Source lead min"/>
    <x:tableColumn id="12" name="Previous DB UTC"/>
    <x:tableColumn id="13" name="Observed cadence min"/>
    <x:tableColumn id="14" name="Verified UTC"/>
    <x:tableColumn id="15" name="Age min"/>
    <x:tableColumn id="16" name="Freshness"/>
    <x:tableColumn id="17" name="Datum mode"/>
    <x:tableColumn id="18" name="Design comparison"/>
    <x:tableColumn id="19" name="Datum source"/>
    <x:tableColumn id="20" name="ThaiWater source"/>
    <x:tableColumn id="21" name="Supabase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ionSecurityChecks" displayName="ProductionSecurityChecks" ref="A4:F16" headerRowCount="1" totalsRowCount="0" totalsRowShown="0">
  <x:tableColumns count="6">
    <x:tableColumn id="1" name="Check"/>
    <x:tableColumn id="2" name="Observed"/>
    <x:tableColumn id="3" name="Expected"/>
    <x:tableColumn id="4" name="Result"/>
    <x:tableColumn id="5" name="Verified ICT"/>
    <x:tableColumn id="6" name="Evidence /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J10" dT="2026-08-18T07:25:50.042" personId="{25A722A8-D2CF-4F58-AB5C-0DF0FC87DD88}" id="{877874E3-4B91-6EF3-2104-BECEBD501ED4}">
    <xltc:text>Formula-driven source comparison. SOURCE_NEWER is acceptable only within the station cadence; it means ThaiWater published after the latest completed poll.</xltc:text>
  </xltc:threadedComment>
  <xltc:threadedComment ref="P10" dT="2026-08-18T07:25:50.043" personId="{25A722A8-D2CF-4F58-AB5C-0DF0FC87DD88}" id="{CA40F40A-B08B-8F0C-C4B3-971C7D3A8C17}">
    <xltc:text>Freshness rule: LIVE &lt;= observed cadence × LIVE multiplier; DELAYED &lt;= observed cadence × DELAYED multiplier; otherwise STALE.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677eefae60fa4e41" /><Relationship Type="http://schemas.openxmlformats.org/officeDocument/2006/relationships/vmlDrawing" Target="/xl/drawings/vmldrawing.vml" Id="R3094515abeec4924" /><Relationship Type="http://schemas.microsoft.com/office/2017/10/relationships/threadedComment" Target="/xl/threadedcomments/threadedcomment.xml" Id="Rb075d1984b97440b" /><Relationship Type="http://schemas.openxmlformats.org/officeDocument/2006/relationships/table" Target="/xl/tables/table1.xml" Id="Rc8e4177396fc4c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e276deeffa43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8" hidden="0" customWidth="1"/>
    <x:col min="3" max="3" width="4" hidden="0" customWidth="1"/>
    <x:col min="4" max="4" width="62" hidden="0" customWidth="1"/>
    <x:col min="5" max="5" width="22" hidden="0" customWidth="1"/>
    <x:col min="6" max="6" width="12" hidden="0" customWidth="1"/>
  </x:cols>
  <x:sheetData>
    <x:row r="1" ht="32" customHeight="1">
      <x:c r="A1" s="51" t="str">
        <x:v>SAMCO Water Tracker — Production Readiness</x:v>
      </x:c>
      <x:c r="B1" s="51" t="str">
        <x:v>SAMCO Water Tracker — Production Readiness</x:v>
      </x:c>
      <x:c r="C1" s="51" t="str">
        <x:v>SAMCO Water Tracker — Production Readiness</x:v>
      </x:c>
      <x:c r="D1" s="51" t="str">
        <x:v>SAMCO Water Tracker — Production Readiness</x:v>
      </x:c>
      <x:c r="E1" s="51" t="str">
        <x:v>SAMCO Water Tracker — Production Readiness</x:v>
      </x:c>
      <x:c r="F1" s="51" t="str">
        <x:v>SAMCO Water Tracker — Production Readiness</x:v>
      </x:c>
    </x:row>
    <x:row r="2">
      <x:c r="A2" s="64" t="str">
        <x:v>Public read-only · Supabase Realtime · ThaiWater source · Release water-tracker-v3-20260818</x:v>
      </x:c>
      <x:c r="B2" s="64"/>
      <x:c r="C2" s="64"/>
      <x:c r="D2" s="64"/>
      <x:c r="E2" s="64"/>
      <x:c r="F2" s="64"/>
    </x:row>
    <x:row r="3">
      <x:c r="A3" s="38"/>
      <x:c r="B3" s="38"/>
      <x:c r="C3" s="38"/>
      <x:c r="D3" s="38"/>
      <x:c r="E3" s="38"/>
      <x:c r="F3" s="38"/>
    </x:row>
    <x:row r="4">
      <x:c r="A4" s="39" t="str">
        <x:v>Readiness KPI</x:v>
      </x:c>
      <x:c r="B4" s="45" t="str">
        <x:v>Result</x:v>
      </x:c>
      <x:c r="C4" s="38"/>
      <x:c r="D4" s="39" t="str">
        <x:v>Decision note</x:v>
      </x:c>
      <x:c r="E4" s="45" t="str">
        <x:v>Owner</x:v>
      </x:c>
      <x:c r="F4" s="45" t="str">
        <x:v>Authority</x:v>
      </x:c>
    </x:row>
    <x:row r="5">
      <x:c r="A5" s="65" t="str">
        <x:v>Active stations</x:v>
      </x:c>
      <x:c r="B5" s="66" t="n">
        <x:f>COUNTA('Source Registry'!A10:A14)</x:f>
        <x:v>5</x:v>
      </x:c>
      <x:c r="C5" s="38"/>
      <x:c r="D5" s="46" t="str">
        <x:v>Public viewers can SELECT only; writes require service_role in protected Edge Functions.</x:v>
      </x:c>
      <x:c r="E5" s="47" t="str">
        <x:v>SAMCO LOGISTICS</x:v>
      </x:c>
      <x:c r="F5" s="47" t="str">
        <x:v>(ก)</x:v>
      </x:c>
    </x:row>
    <x:row r="6">
      <x:c r="A6" s="65" t="str">
        <x:v>Exact source matches</x:v>
      </x:c>
      <x:c r="B6" s="66" t="n">
        <x:f>COUNTIF('Source Registry'!J10:J14,"MATCH")</x:f>
        <x:v>4</x:v>
      </x:c>
      <x:c r="C6" s="38"/>
      <x:c r="D6" s="46" t="str">
        <x:v>Realtime refresh is event-driven with a five-minute fallback; upstream station cadence still governs freshness.</x:v>
      </x:c>
      <x:c r="E6" s="47" t="str">
        <x:v>SAMCO LOGISTICS</x:v>
      </x:c>
      <x:c r="F6" s="47" t="str">
        <x:v>(ก)</x:v>
      </x:c>
    </x:row>
    <x:row r="7">
      <x:c r="A7" s="65" t="str">
        <x:v>Source newer than DB</x:v>
      </x:c>
      <x:c r="B7" s="66" t="n">
        <x:f>COUNTIF('Source Registry'!J10:J14,"SOURCE_NEWER")</x:f>
        <x:v>1</x:v>
      </x:c>
      <x:c r="C7" s="38"/>
      <x:c r="D7" s="46" t="str">
        <x:v>Buengkan uses local datum; design comparison is blocked until a verified transformation is supplied.</x:v>
      </x:c>
      <x:c r="E7" s="47" t="str">
        <x:v>SAMCO LOGISTICS</x:v>
      </x:c>
      <x:c r="F7" s="47" t="str">
        <x:v>(ก)</x:v>
      </x:c>
    </x:row>
    <x:row r="8">
      <x:c r="A8" s="65" t="str">
        <x:v>Value mismatches</x:v>
      </x:c>
      <x:c r="B8" s="66" t="n">
        <x:f>COUNTIF('Source Registry'!J10:J14,"VALUE_MISMATCH")</x:f>
        <x:v>0</x:v>
      </x:c>
      <x:c r="C8" s="38"/>
      <x:c r="D8" s="46" t="str">
        <x:v>A 100% availability guarantee is impossible while ThaiWater remains an external dependency; stale state is surfaced rather than hidden.</x:v>
      </x:c>
      <x:c r="E8" s="47" t="str">
        <x:v>SAMCO LOGISTICS</x:v>
      </x:c>
      <x:c r="F8" s="47" t="str">
        <x:v>(ก)</x:v>
      </x:c>
    </x:row>
    <x:row r="9">
      <x:c r="A9" s="65" t="str">
        <x:v>LIVE stations</x:v>
      </x:c>
      <x:c r="B9" s="66" t="n">
        <x:f>COUNTIF('Source Registry'!P10:P14,"LIVE")</x:f>
        <x:v>4</x:v>
      </x:c>
      <x:c r="C9" s="38"/>
      <x:c r="D9" s="38"/>
      <x:c r="E9" s="38"/>
      <x:c r="F9" s="38"/>
    </x:row>
    <x:row r="10">
      <x:c r="A10" s="65" t="str">
        <x:v>STALE stations</x:v>
      </x:c>
      <x:c r="B10" s="66" t="n">
        <x:f>COUNTIF('Source Registry'!P10:P14,"STALE")</x:f>
        <x:v>0</x:v>
      </x:c>
      <x:c r="C10" s="38"/>
      <x:c r="D10" s="38"/>
      <x:c r="E10" s="38"/>
      <x:c r="F10" s="38"/>
    </x:row>
    <x:row r="11">
      <x:c r="A11" s="65" t="str">
        <x:v>Security checks passed</x:v>
      </x:c>
      <x:c r="B11" s="66" t="n">
        <x:f>COUNTIF('Security Checks'!D5:D16,"PASS")</x:f>
        <x:v>12</x:v>
      </x:c>
      <x:c r="C11" s="38"/>
      <x:c r="D11" s="38"/>
      <x:c r="E11" s="38"/>
      <x:c r="F11" s="38"/>
    </x:row>
    <x:row r="12">
      <x:c r="A12" s="65" t="str">
        <x:v>Security checks total</x:v>
      </x:c>
      <x:c r="B12" s="66" t="n">
        <x:f>COUNTA('Security Checks'!A5:A16)</x:f>
        <x:v>12</x:v>
      </x:c>
      <x:c r="C12" s="38"/>
      <x:c r="D12" s="38"/>
      <x:c r="E12" s="38"/>
      <x:c r="F12" s="38"/>
    </x:row>
    <x:row r="13">
      <x:c r="A13" s="65" t="str">
        <x:v>Latest poll status</x:v>
      </x:c>
      <x:c r="B13" s="66" t="str">
        <x:f>'Security Checks'!B12</x:f>
        <x:v>success</x:v>
      </x:c>
      <x:c r="C13" s="38"/>
      <x:c r="D13" s="38"/>
      <x:c r="E13" s="38"/>
      <x:c r="F13" s="38"/>
    </x:row>
    <x:row r="14">
      <x:c r="A14" s="65" t="str">
        <x:v>Latest poll processed sites</x:v>
      </x:c>
      <x:c r="B14" s="66" t="n">
        <x:f>'Security Checks'!B13</x:f>
        <x:v>5</x:v>
      </x:c>
      <x:c r="C14" s="38"/>
      <x:c r="D14" s="38"/>
      <x:c r="E14" s="38"/>
      <x:c r="F14" s="38"/>
    </x:row>
    <x:row r="15">
      <x:c r="A15" s="65" t="str">
        <x:v>Latest poll skipped sites</x:v>
      </x:c>
      <x:c r="B15" s="66" t="n">
        <x:f>'Security Checks'!B14</x:f>
        <x:v>0</x:v>
      </x:c>
      <x:c r="C15" s="38"/>
      <x:c r="D15" s="38"/>
      <x:c r="E15" s="38"/>
      <x:c r="F15" s="38"/>
    </x:row>
    <x:row r="16">
      <x:c r="A16" s="38"/>
      <x:c r="B16" s="38"/>
      <x:c r="C16" s="38"/>
      <x:c r="D16" s="38"/>
      <x:c r="E16" s="38"/>
      <x:c r="F16" s="38"/>
    </x:row>
    <x:row r="17">
      <x:c r="A17" s="67" t="str">
        <x:v>Overall gate</x:v>
      </x:c>
      <x:c r="B17" s="67" t="str">
        <x:v>Status</x:v>
      </x:c>
      <x:c r="C17" s="38"/>
      <x:c r="D17" s="38"/>
      <x:c r="E17" s="38"/>
      <x:c r="F17" s="38"/>
    </x:row>
    <x:row r="18">
      <x:c r="A18" s="68" t="str">
        <x:v>Production data/security gate</x:v>
      </x:c>
      <x:c r="B18" s="68" t="str">
        <x:f>IF(AND(B8=0,B10=0,B11=B12,B13="success",B14=B5,B15=0),"READY","REVIEW")</x:f>
        <x:v>READY</x:v>
      </x:c>
      <x:c r="C18" s="38"/>
      <x:c r="D18" s="38"/>
      <x:c r="E18" s="38"/>
      <x:c r="F18" s="38"/>
    </x:row>
  </x:sheetData>
  <x:mergeCells>
    <x:mergeCell ref="A1:F1"/>
    <x:mergeCell ref="A2:F2"/>
  </x:mergeCells>
  <x:conditionalFormatting sqref="B18:B18">
    <x:cfRule type="containsText" dxfId="9" priority="1" operator="containsText" text="REVIEW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32" hidden="0" customWidth="1"/>
    <x:col min="4" max="4" width="14" hidden="0" customWidth="1"/>
    <x:col min="5" max="5" width="14" hidden="0" customWidth="1"/>
    <x:col min="6" max="6" width="20" hidden="0" customWidth="1"/>
    <x:col min="7" max="7" width="13" hidden="0" customWidth="1"/>
    <x:col min="8" max="8" width="20" hidden="0" customWidth="1"/>
    <x:col min="9" max="9" width="13" hidden="0" customWidth="1"/>
    <x:col min="10" max="10" width="18" hidden="0" customWidth="1"/>
    <x:col min="11" max="11" width="15" hidden="0" customWidth="1"/>
    <x:col min="12" max="12" width="20" hidden="0" customWidth="1"/>
    <x:col min="13" max="13" width="18" hidden="0" customWidth="1"/>
    <x:col min="14" max="14" width="20" hidden="0" customWidth="1"/>
    <x:col min="15" max="15" width="12" hidden="0" customWidth="1"/>
    <x:col min="16" max="16" width="13" hidden="0" customWidth="1"/>
    <x:col min="17" max="17" width="17" hidden="0" customWidth="1"/>
    <x:col min="18" max="18" width="18" hidden="0" customWidth="1"/>
    <x:col min="19" max="19" width="48" hidden="0" customWidth="1"/>
    <x:col min="20" max="20" width="48" hidden="0" customWidth="1"/>
    <x:col min="21" max="21" width="40" hidden="0" customWidth="1"/>
  </x:cols>
  <x:sheetData>
    <x:row r="1" ht="32" customHeight="1">
      <x:c r="A1" s="51" t="str">
        <x:v>SAMCO Water Tracker — Source Registry</x:v>
      </x:c>
      <x:c r="B1" s="51" t="str">
        <x:v>SAMCO Water Tracker — Source Registry</x:v>
      </x:c>
      <x:c r="C1" s="51" t="str">
        <x:v>SAMCO Water Tracker — Source Registry</x:v>
      </x:c>
      <x:c r="D1" s="51" t="str">
        <x:v>SAMCO Water Tracker — Source Registry</x:v>
      </x:c>
      <x:c r="E1" s="51" t="str">
        <x:v>SAMCO Water Tracker — Source Registry</x:v>
      </x:c>
      <x:c r="F1" s="51" t="str">
        <x:v>SAMCO Water Tracker — Source Registry</x:v>
      </x:c>
      <x:c r="G1" s="51" t="str">
        <x:v>SAMCO Water Tracker — Source Registry</x:v>
      </x:c>
      <x:c r="H1" s="51" t="str">
        <x:v>SAMCO Water Tracker — Source Registry</x:v>
      </x:c>
      <x:c r="I1" s="51" t="str">
        <x:v>SAMCO Water Tracker — Source Registry</x:v>
      </x:c>
      <x:c r="J1" s="51" t="str">
        <x:v>SAMCO Water Tracker — Source Registry</x:v>
      </x:c>
      <x:c r="K1" s="51" t="str">
        <x:v>SAMCO Water Tracker — Source Registry</x:v>
      </x:c>
      <x:c r="L1" s="51" t="str">
        <x:v>SAMCO Water Tracker — Source Registry</x:v>
      </x:c>
      <x:c r="M1" s="51" t="str">
        <x:v>SAMCO Water Tracker — Source Registry</x:v>
      </x:c>
      <x:c r="N1" s="51" t="str">
        <x:v>SAMCO Water Tracker — Source Registry</x:v>
      </x:c>
      <x:c r="O1" s="51" t="str">
        <x:v>SAMCO Water Tracker — Source Registry</x:v>
      </x:c>
      <x:c r="P1" s="51" t="str">
        <x:v>SAMCO Water Tracker — Source Registry</x:v>
      </x:c>
      <x:c r="Q1" s="51" t="str">
        <x:v>SAMCO Water Tracker — Source Registry</x:v>
      </x:c>
      <x:c r="R1" s="51" t="str">
        <x:v>SAMCO Water Tracker — Source Registry</x:v>
      </x:c>
      <x:c r="S1" s="51" t="str">
        <x:v>SAMCO Water Tracker — Source Registry</x:v>
      </x:c>
      <x:c r="T1" s="51" t="str">
        <x:v>SAMCO Water Tracker — Source Registry</x:v>
      </x:c>
      <x:c r="U1" s="51" t="str">
        <x:v>SAMCO Water Tracker — Source Registry</x:v>
      </x:c>
    </x:row>
    <x:row r="2" ht="34" customHeight="1">
      <x:c r="A2" s="36" t="str">
        <x:v>Entity: SAMCO LOGISTICS · Supabase project: samco-logistics (yiyoagypmcnatdauuadf) · All timestamps below are UTC</x:v>
      </x:c>
      <x:c r="B2" s="36"/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  <x:c r="Q2" s="36"/>
      <x:c r="R2" s="36"/>
      <x:c r="S2" s="36"/>
      <x:c r="T2" s="36"/>
      <x:c r="U2" s="36"/>
    </x:row>
    <x:row r="3" ht="34" customHeight="1">
      <x:c r="A3" s="37" t="str">
        <x:v>Source check: ThaiWater endpoint retrieved 2026-08-18 07:21:27 UTC; Supabase latest rows queried immediately after. SOURCE_NEWER means upstream published a newer point after the last poll, not a value mismatch.</x:v>
      </x:c>
      <x:c r="B3" s="37"/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  <x:c r="Q3" s="37"/>
      <x:c r="R3" s="37"/>
      <x:c r="S3" s="37"/>
      <x:c r="T3" s="37"/>
      <x:c r="U3" s="37"/>
    </x:row>
    <x:row r="4">
      <x:c r="A4" s="38"/>
      <x:c r="B4" s="38"/>
      <x:c r="C4" s="38"/>
      <x:c r="D4" s="38"/>
      <x:c r="E4" s="38"/>
      <x:c r="F4" s="38"/>
      <x:c r="G4" s="38"/>
      <x:c r="H4" s="38"/>
      <x:c r="I4" s="38"/>
      <x:c r="J4" s="38"/>
      <x:c r="K4" s="38"/>
      <x:c r="L4" s="38"/>
      <x:c r="M4" s="38"/>
      <x:c r="N4" s="38"/>
      <x:c r="O4" s="38"/>
      <x:c r="P4" s="38"/>
      <x:c r="Q4" s="38"/>
      <x:c r="R4" s="38"/>
      <x:c r="S4" s="38"/>
      <x:c r="T4" s="38"/>
      <x:c r="U4" s="38"/>
    </x:row>
    <x:row r="5">
      <x:c r="A5" s="39" t="str">
        <x:v>Freshness controls</x:v>
      </x:c>
      <x:c r="B5" s="40" t="str">
        <x:v>Value</x:v>
      </x:c>
      <x:c r="C5" s="38"/>
      <x:c r="D5" s="38"/>
      <x:c r="E5" s="38"/>
      <x:c r="F5" s="38"/>
      <x:c r="G5" s="38"/>
      <x:c r="H5" s="38"/>
      <x:c r="I5" s="38"/>
      <x:c r="J5" s="38"/>
      <x:c r="K5" s="38"/>
      <x:c r="L5" s="38"/>
      <x:c r="M5" s="38"/>
      <x:c r="N5" s="38"/>
      <x:c r="O5" s="38"/>
      <x:c r="P5" s="38"/>
      <x:c r="Q5" s="38"/>
      <x:c r="R5" s="38"/>
      <x:c r="S5" s="38"/>
      <x:c r="T5" s="38"/>
      <x:c r="U5" s="38"/>
    </x:row>
    <x:row r="6">
      <x:c r="A6" s="41" t="str">
        <x:v>LIVE multiplier</x:v>
      </x:c>
      <x:c r="B6" s="42" t="n">
        <x:v>2</x:v>
      </x:c>
      <x:c r="C6" s="38"/>
      <x:c r="D6" s="38"/>
      <x:c r="E6" s="38"/>
      <x:c r="F6" s="38"/>
      <x:c r="G6" s="38"/>
      <x:c r="H6" s="38"/>
      <x:c r="I6" s="38"/>
      <x:c r="J6" s="38"/>
      <x:c r="K6" s="38"/>
      <x:c r="L6" s="38"/>
      <x:c r="M6" s="38"/>
      <x:c r="N6" s="38"/>
      <x:c r="O6" s="38"/>
      <x:c r="P6" s="38"/>
      <x:c r="Q6" s="38"/>
      <x:c r="R6" s="38"/>
      <x:c r="S6" s="38"/>
      <x:c r="T6" s="38"/>
      <x:c r="U6" s="38"/>
    </x:row>
    <x:row r="7">
      <x:c r="A7" s="43" t="str">
        <x:v>DELAYED multiplier</x:v>
      </x:c>
      <x:c r="B7" s="44" t="n">
        <x:v>4</x:v>
      </x:c>
      <x:c r="C7" s="38"/>
      <x:c r="D7" s="38"/>
      <x:c r="E7" s="38"/>
      <x:c r="F7" s="38"/>
      <x:c r="G7" s="38"/>
      <x:c r="H7" s="38"/>
      <x:c r="I7" s="38"/>
      <x:c r="J7" s="38"/>
      <x:c r="K7" s="38"/>
      <x:c r="L7" s="38"/>
      <x:c r="M7" s="38"/>
      <x:c r="N7" s="38"/>
      <x:c r="O7" s="38"/>
      <x:c r="P7" s="38"/>
      <x:c r="Q7" s="38"/>
      <x:c r="R7" s="38"/>
      <x:c r="S7" s="38"/>
      <x:c r="T7" s="38"/>
      <x:c r="U7" s="38"/>
    </x:row>
    <x:row r="8">
      <x:c r="A8" s="38"/>
      <x:c r="B8" s="38"/>
      <x:c r="C8" s="38"/>
      <x:c r="D8" s="38"/>
      <x:c r="E8" s="38"/>
      <x:c r="F8" s="38"/>
      <x:c r="G8" s="38"/>
      <x:c r="H8" s="38"/>
      <x:c r="I8" s="38"/>
      <x:c r="J8" s="38"/>
      <x:c r="K8" s="38"/>
      <x:c r="L8" s="38"/>
      <x:c r="M8" s="38"/>
      <x:c r="N8" s="38"/>
      <x:c r="O8" s="38"/>
      <x:c r="P8" s="38"/>
      <x:c r="Q8" s="38"/>
      <x:c r="R8" s="38"/>
      <x:c r="S8" s="38"/>
      <x:c r="T8" s="38"/>
      <x:c r="U8" s="38"/>
    </x:row>
    <x:row r="9" ht="42" customHeight="1">
      <x:c r="A9" s="39" t="str">
        <x:v>Site ID</x:v>
      </x:c>
      <x:c r="B9" s="45" t="str">
        <x:v>Site</x:v>
      </x:c>
      <x:c r="C9" s="45" t="str">
        <x:v>River</x:v>
      </x:c>
      <x:c r="D9" s="45" t="str">
        <x:v>Station Code</x:v>
      </x:c>
      <x:c r="E9" s="45" t="str">
        <x:v>Station ID</x:v>
      </x:c>
      <x:c r="F9" s="45" t="str">
        <x:v>DB measured UTC</x:v>
      </x:c>
      <x:c r="G9" s="45" t="str">
        <x:v>DB WL MSL</x:v>
      </x:c>
      <x:c r="H9" s="45" t="str">
        <x:v>Source measured UTC</x:v>
      </x:c>
      <x:c r="I9" s="45" t="str">
        <x:v>Source WL MSL</x:v>
      </x:c>
      <x:c r="J9" s="45" t="str">
        <x:v>Sync status</x:v>
      </x:c>
      <x:c r="K9" s="45" t="str">
        <x:v>Source lead min</x:v>
      </x:c>
      <x:c r="L9" s="45" t="str">
        <x:v>Previous DB UTC</x:v>
      </x:c>
      <x:c r="M9" s="45" t="str">
        <x:v>Observed cadence min</x:v>
      </x:c>
      <x:c r="N9" s="45" t="str">
        <x:v>Verified UTC</x:v>
      </x:c>
      <x:c r="O9" s="45" t="str">
        <x:v>Age min</x:v>
      </x:c>
      <x:c r="P9" s="45" t="str">
        <x:v>Freshness</x:v>
      </x:c>
      <x:c r="Q9" s="45" t="str">
        <x:v>Datum mode</x:v>
      </x:c>
      <x:c r="R9" s="45" t="str">
        <x:v>Design comparison</x:v>
      </x:c>
      <x:c r="S9" s="45" t="str">
        <x:v>Datum source</x:v>
      </x:c>
      <x:c r="T9" s="45" t="str">
        <x:v>ThaiWater source</x:v>
      </x:c>
      <x:c r="U9" s="45" t="str">
        <x:v>Supabase source</x:v>
      </x:c>
    </x:row>
    <x:row r="10">
      <x:c r="A10" s="46" t="str">
        <x:v>thachin-nakhonchaisi</x:v>
      </x:c>
      <x:c r="B10" s="47" t="str">
        <x:v>นครชัยศรี (ท่าจีน)</x:v>
      </x:c>
      <x:c r="C10" s="47" t="str">
        <x:v>แม่น้ำท่าจีน</x:v>
      </x:c>
      <x:c r="D10" s="47" t="str">
        <x:v>THA008</x:v>
      </x:c>
      <x:c r="E10" s="47" t="str">
        <x:v>748</x:v>
      </x:c>
      <x:c r="F10" s="48" t="n">
        <x:v>46252.291666666664</x:v>
      </x:c>
      <x:c r="G10" s="49" t="n">
        <x:v>0.82</x:v>
      </x:c>
      <x:c r="H10" s="48" t="n">
        <x:v>46252.291666666664</x:v>
      </x:c>
      <x:c r="I10" s="49" t="n">
        <x:v>0.82</x:v>
      </x:c>
      <x:c r="J10" s="47" t="str">
        <x:f>IF(F10=H10,IF(G10=I10,"MATCH","VALUE_MISMATCH"),IF(H10&gt;F10,"SOURCE_NEWER","DB_NEWER"))</x:f>
        <x:v>MATCH</x:v>
      </x:c>
      <x:c r="K10" s="50" t="n">
        <x:f>(H10-F10)*1440</x:f>
        <x:v>0</x:v>
      </x:c>
      <x:c r="L10" s="48" t="n">
        <x:v>46252.27777777778</x:v>
      </x:c>
      <x:c r="M10" s="50" t="n">
        <x:f>(F10-L10)*1440</x:f>
        <x:v>19.999999991850927</x:v>
      </x:c>
      <x:c r="N10" s="48" t="n">
        <x:v>46252.3065625</x:v>
      </x:c>
      <x:c r="O10" s="50" t="n">
        <x:f>(N10-F10)*1440</x:f>
        <x:v>21.45000000600703</x:v>
      </x:c>
      <x:c r="P10" s="47" t="str">
        <x:f>IF(O10&lt;=$B$6*M10,"LIVE",IF(O10&lt;=$B$7*M10,"DELAYED","STALE"))</x:f>
        <x:v>LIVE</x:v>
      </x:c>
      <x:c r="Q10" s="47" t="str">
        <x:v>MSL compatible</x:v>
      </x:c>
      <x:c r="R10" s="47" t="str">
        <x:f>IF(Q10="local datum","BLOCK","ALLOW")</x:f>
        <x:v>ALLOW</x:v>
      </x:c>
      <x:c r="S10" s="47" t="str">
        <x:v>BM-02/03/04 จากตารางที่ 2 โครงการ 67-NPT-S04</x:v>
      </x:c>
      <x:c r="T10" s="47" t="str">
        <x:v>https://api-v3.thaiwater.net/api/v1/thaiwater30/public/waterlevel_load</x:v>
      </x:c>
      <x:c r="U10" s="47" t="str">
        <x:v>https://yiyoagypmcnatdauuadf.supabase.co</x:v>
      </x:c>
    </x:row>
    <x:row r="11">
      <x:c r="A11" s="46" t="str">
        <x:v>khoksalut-nan</x:v>
      </x:c>
      <x:c r="B11" s="47" t="str">
        <x:v>โคกสลุด (น่าน)</x:v>
      </x:c>
      <x:c r="C11" s="47" t="str">
        <x:v>แม่น้ำน่าน</x:v>
      </x:c>
      <x:c r="D11" s="47" t="str">
        <x:v>NAN006</x:v>
      </x:c>
      <x:c r="E11" s="47" t="str">
        <x:v>667</x:v>
      </x:c>
      <x:c r="F11" s="48" t="n">
        <x:v>46252.291666666664</x:v>
      </x:c>
      <x:c r="G11" s="49" t="n">
        <x:v>31.54</x:v>
      </x:c>
      <x:c r="H11" s="48" t="n">
        <x:v>46252.29861111111</x:v>
      </x:c>
      <x:c r="I11" s="49" t="n">
        <x:v>31.52</x:v>
      </x:c>
      <x:c r="J11" s="47" t="str">
        <x:f>IF(F11=H11,IF(G11=I11,"MATCH","VALUE_MISMATCH"),IF(H11&gt;F11,"SOURCE_NEWER","DB_NEWER"))</x:f>
        <x:v>SOURCE_NEWER</x:v>
      </x:c>
      <x:c r="K11" s="50" t="n">
        <x:f>(H11-F11)*1440</x:f>
        <x:v>10.000000001164153</x:v>
      </x:c>
      <x:c r="L11" s="48" t="n">
        <x:v>46252.27777777778</x:v>
      </x:c>
      <x:c r="M11" s="50" t="n">
        <x:f>(F11-L11)*1440</x:f>
        <x:v>19.999999991850927</x:v>
      </x:c>
      <x:c r="N11" s="48" t="n">
        <x:v>46252.3065625</x:v>
      </x:c>
      <x:c r="O11" s="50" t="n">
        <x:f>(N11-F11)*1440</x:f>
        <x:v>21.45000000600703</x:v>
      </x:c>
      <x:c r="P11" s="47" t="str">
        <x:f>IF(O11&lt;=$B$6*M11,"LIVE",IF(O11&lt;=$B$7*M11,"DELAYED","STALE"))</x:f>
        <x:v>LIVE</x:v>
      </x:c>
      <x:c r="Q11" s="47" t="str">
        <x:v>MSL compatible</x:v>
      </x:c>
      <x:c r="R11" s="47" t="str">
        <x:f>IF(Q11="local datum","BLOCK","ALLOW")</x:f>
        <x:v>ALLOW</x:v>
      </x:c>
      <x:c r="S11" s="47" t="str">
        <x:v>BM-1/BM-2/BM-3 + GPS-NAN2-V06-1/V06-2 — 5 หมุด offset 59.7770 ตรงกัน spread 0mm</x:v>
      </x:c>
      <x:c r="T11" s="47" t="str">
        <x:v>https://api-v3.thaiwater.net/api/v1/thaiwater30/public/waterlevel_load</x:v>
      </x:c>
      <x:c r="U11" s="47" t="str">
        <x:v>https://yiyoagypmcnatdauuadf.supabase.co</x:v>
      </x:c>
    </x:row>
    <x:row r="12">
      <x:c r="A12" s="46" t="str">
        <x:v>angthong-bangkaew</x:v>
      </x:c>
      <x:c r="B12" s="47" t="str">
        <x:v>อ่างทอง (คลองบางแก้ว)</x:v>
      </x:c>
      <x:c r="C12" s="47" t="str">
        <x:v>คลองบางแก้ว (สาขาแม่น้ำเจ้าพระยา)</x:v>
      </x:c>
      <x:c r="D12" s="47" t="str">
        <x:v>C.7A</x:v>
      </x:c>
      <x:c r="E12" s="47" t="str">
        <x:v>2626</x:v>
      </x:c>
      <x:c r="F12" s="48" t="n">
        <x:v>46252.208333333336</x:v>
      </x:c>
      <x:c r="G12" s="49" t="n">
        <x:v>1.55</x:v>
      </x:c>
      <x:c r="H12" s="48" t="n">
        <x:v>46252.208333333336</x:v>
      </x:c>
      <x:c r="I12" s="49" t="n">
        <x:v>1.55</x:v>
      </x:c>
      <x:c r="J12" s="47" t="str">
        <x:f>IF(F12=H12,IF(G12=I12,"MATCH","VALUE_MISMATCH"),IF(H12&gt;F12,"SOURCE_NEWER","DB_NEWER"))</x:f>
        <x:v>MATCH</x:v>
      </x:c>
      <x:c r="K12" s="50" t="n">
        <x:f>(H12-F12)*1440</x:f>
        <x:v>0</x:v>
      </x:c>
      <x:c r="L12" s="48" t="n">
        <x:v>46252.166666666664</x:v>
      </x:c>
      <x:c r="M12" s="50" t="n">
        <x:f>(F12-L12)*1440</x:f>
        <x:v>60.00000000698492</x:v>
      </x:c>
      <x:c r="N12" s="48" t="n">
        <x:v>46252.3065625</x:v>
      </x:c>
      <x:c r="O12" s="50" t="n">
        <x:f>(N12-F12)*1440</x:f>
        <x:v>141.4499999990221</x:v>
      </x:c>
      <x:c r="P12" s="47" t="str">
        <x:f>IF(O12&lt;=$B$6*M12,"LIVE",IF(O12&lt;=$B$7*M12,"DELAYED","STALE"))</x:f>
        <x:v>DELAYED</x:v>
      </x:c>
      <x:c r="Q12" s="47" t="str">
        <x:v>MSL compatible</x:v>
      </x:c>
      <x:c r="R12" s="47" t="str">
        <x:f>IF(Q12="local datum","BLOCK","ALLOW")</x:f>
        <x:v>ALLOW</x:v>
      </x:c>
      <x:c r="S12" s="47" t="str">
        <x:v>GPS01/GPS02 → offset 91.421</x:v>
      </x:c>
      <x:c r="T12" s="47" t="str">
        <x:v>https://api-v3.thaiwater.net/api/v1/thaiwater30/public/waterlevel_load</x:v>
      </x:c>
      <x:c r="U12" s="47" t="str">
        <x:v>https://yiyoagypmcnatdauuadf.supabase.co</x:v>
      </x:c>
    </x:row>
    <x:row r="13">
      <x:c r="A13" s="46" t="str">
        <x:v>prachinburi</x:v>
      </x:c>
      <x:c r="B13" s="47" t="str">
        <x:v>ปราจีนบุรี</x:v>
      </x:c>
      <x:c r="C13" s="47" t="str">
        <x:v>แม่น้ำปราจีนบุรี</x:v>
      </x:c>
      <x:c r="D13" s="47" t="str">
        <x:v>Kgt.3</x:v>
      </x:c>
      <x:c r="E13" s="47" t="str">
        <x:v>2680</x:v>
      </x:c>
      <x:c r="F13" s="48" t="n">
        <x:v>46252.291666666664</x:v>
      </x:c>
      <x:c r="G13" s="49" t="n">
        <x:v>2.73</x:v>
      </x:c>
      <x:c r="H13" s="48" t="n">
        <x:v>46252.291666666664</x:v>
      </x:c>
      <x:c r="I13" s="49" t="n">
        <x:v>2.73</x:v>
      </x:c>
      <x:c r="J13" s="47" t="str">
        <x:f>IF(F13=H13,IF(G13=I13,"MATCH","VALUE_MISMATCH"),IF(H13&gt;F13,"SOURCE_NEWER","DB_NEWER"))</x:f>
        <x:v>MATCH</x:v>
      </x:c>
      <x:c r="K13" s="50" t="n">
        <x:f>(H13-F13)*1440</x:f>
        <x:v>0</x:v>
      </x:c>
      <x:c r="L13" s="48" t="n">
        <x:v>46252.25</x:v>
      </x:c>
      <x:c r="M13" s="50" t="n">
        <x:f>(F13-L13)*1440</x:f>
        <x:v>59.99999999650754</x:v>
      </x:c>
      <x:c r="N13" s="48" t="n">
        <x:v>46252.3065625</x:v>
      </x:c>
      <x:c r="O13" s="50" t="n">
        <x:f>(N13-F13)*1440</x:f>
        <x:v>21.45000000600703</x:v>
      </x:c>
      <x:c r="P13" s="47" t="str">
        <x:f>IF(O13&lt;=$B$6*M13,"LIVE",IF(O13&lt;=$B$7*M13,"DELAYED","STALE"))</x:f>
        <x:v>LIVE</x:v>
      </x:c>
      <x:c r="Q13" s="47" t="str">
        <x:v>MSL compatible</x:v>
      </x:c>
      <x:c r="R13" s="47" t="str">
        <x:f>IF(Q13="local datum","BLOCK","ALLOW")</x:f>
        <x:v>ALLOW</x:v>
      </x:c>
      <x:c r="S13" s="47" t="str">
        <x:v>9/10 หมุด BM offset ตรงกัน 91.000 + 2/3 WL อ้างอิงตรง</x:v>
      </x:c>
      <x:c r="T13" s="47" t="str">
        <x:v>https://api-v3.thaiwater.net/api/v1/thaiwater30/public/waterlevel_load</x:v>
      </x:c>
      <x:c r="U13" s="47" t="str">
        <x:v>https://yiyoagypmcnatdauuadf.supabase.co</x:v>
      </x:c>
    </x:row>
    <x:row r="14">
      <x:c r="A14" s="46" t="str">
        <x:v>buengkan-nam-hi</x:v>
      </x:c>
      <x:c r="B14" s="47" t="str">
        <x:v>บึงกาฬ (แม่น้ำฮี้)</x:v>
      </x:c>
      <x:c r="C14" s="47" t="str">
        <x:v>แม่น้ำฮี้ (สาขาแม่น้ำสงคราม → โขง)</x:v>
      </x:c>
      <x:c r="D14" s="47" t="str">
        <x:v>TKS.121</x:v>
      </x:c>
      <x:c r="E14" s="47" t="str">
        <x:v>11688687</x:v>
      </x:c>
      <x:c r="F14" s="48" t="n">
        <x:v>46252.25</x:v>
      </x:c>
      <x:c r="G14" s="49" t="n">
        <x:v>183.57</x:v>
      </x:c>
      <x:c r="H14" s="48" t="n">
        <x:v>46252.25</x:v>
      </x:c>
      <x:c r="I14" s="49" t="n">
        <x:v>183.57</x:v>
      </x:c>
      <x:c r="J14" s="47" t="str">
        <x:f>IF(F14=H14,IF(G14=I14,"MATCH","VALUE_MISMATCH"),IF(H14&gt;F14,"SOURCE_NEWER","DB_NEWER"))</x:f>
        <x:v>MATCH</x:v>
      </x:c>
      <x:c r="K14" s="50" t="n">
        <x:f>(H14-F14)*1440</x:f>
        <x:v>0</x:v>
      </x:c>
      <x:c r="L14" s="48" t="n">
        <x:v>46252.208333333336</x:v>
      </x:c>
      <x:c r="M14" s="50" t="n">
        <x:f>(F14-L14)*1440</x:f>
        <x:v>59.99999999650754</x:v>
      </x:c>
      <x:c r="N14" s="48" t="n">
        <x:v>46252.3065625</x:v>
      </x:c>
      <x:c r="O14" s="50" t="n">
        <x:f>(N14-F14)*1440</x:f>
        <x:v>81.45000000251457</x:v>
      </x:c>
      <x:c r="P14" s="47" t="str">
        <x:f>IF(O14&lt;=$B$6*M14,"LIVE",IF(O14&lt;=$B$7*M14,"DELAYED","STALE"))</x:f>
        <x:v>LIVE</x:v>
      </x:c>
      <x:c r="Q14" s="47" t="str">
        <x:v>local datum</x:v>
      </x:c>
      <x:c r="R14" s="47" t="str">
        <x:f>IF(Q14="local datum","BLOCK","ALLOW")</x:f>
        <x:v>BLOCK</x:v>
      </x:c>
      <x:c r="S14" s="47" t="str">
        <x:v>แบบใช้ local datum อ้าง 66-BK04-1 = 100.600 ม. — ไม่ใช่ MSL สากล</x:v>
      </x:c>
      <x:c r="T14" s="47" t="str">
        <x:v>https://api-v3.thaiwater.net/api/v1/thaiwater30/public/waterlevel_load</x:v>
      </x:c>
      <x:c r="U14" s="47" t="str">
        <x:v>https://yiyoagypmcnatdauuadf.supabase.co</x:v>
      </x:c>
    </x:row>
  </x:sheetData>
  <x:mergeCells>
    <x:mergeCell ref="A1:U1"/>
    <x:mergeCell ref="A2:U2"/>
    <x:mergeCell ref="A3:U3"/>
  </x:mergeCells>
  <x:conditionalFormatting sqref="J10:J14">
    <x:cfRule type="containsText" dxfId="0" priority="1" operator="containsText" text="MATCH"/>
    <x:cfRule type="containsText" dxfId="1" priority="2" operator="containsText" text="SOURCE_NEWER"/>
    <x:cfRule type="containsText" dxfId="2" priority="3" operator="containsText" text="MISMATCH"/>
  </x:conditionalFormatting>
  <x:conditionalFormatting sqref="P10:P14">
    <x:cfRule type="containsText" dxfId="3" priority="4" operator="containsText" text="LIVE"/>
    <x:cfRule type="containsText" dxfId="4" priority="5" operator="containsText" text="DELAYED"/>
    <x:cfRule type="containsText" dxfId="5" priority="6" operator="containsText" text="STALE"/>
  </x:conditionalFormatting>
  <x:conditionalFormatting sqref="R10:R14">
    <x:cfRule type="containsText" dxfId="6" priority="7" operator="containsText" text="BLOCK"/>
  </x:conditionalFormatting>
  <x:pageMargins left="0.7" right="0.7" top="0.75" bottom="0.75" header="0.3" footer="0.3"/>
  <x:legacyDrawing xmlns:r="http://schemas.openxmlformats.org/officeDocument/2006/relationships" r:id="R3094515abeec4924"/>
  <x:tableParts count="1">
    <x:tablePart xmlns:r="http://schemas.openxmlformats.org/officeDocument/2006/relationships" r:id="Rc8e4177396fc4cb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13" hidden="0" customWidth="1"/>
    <x:col min="5" max="5" width="22" hidden="0" customWidth="1"/>
    <x:col min="6" max="6" width="58" hidden="0" customWidth="1"/>
  </x:cols>
  <x:sheetData>
    <x:row r="1" ht="32" customHeight="1">
      <x:c r="A1" s="51" t="str">
        <x:v>SAMCO Water Tracker — Production Security Checks</x:v>
      </x:c>
      <x:c r="B1" s="51" t="str">
        <x:v>SAMCO Water Tracker — Production Security Checks</x:v>
      </x:c>
      <x:c r="C1" s="51" t="str">
        <x:v>SAMCO Water Tracker — Production Security Checks</x:v>
      </x:c>
      <x:c r="D1" s="51" t="str">
        <x:v>SAMCO Water Tracker — Production Security Checks</x:v>
      </x:c>
      <x:c r="E1" s="51" t="str">
        <x:v>SAMCO Water Tracker — Production Security Checks</x:v>
      </x:c>
      <x:c r="F1" s="51" t="str">
        <x:v>SAMCO Water Tracker — Production Security Checks</x:v>
      </x:c>
    </x:row>
    <x:row r="2">
      <x:c r="A2" s="36" t="str">
        <x:v>Verified 2026-08-18 14:22:05 ICT. Probes targeted Supabase project samco-logistics only; no production rows were changed by the write-denial probe.</x:v>
      </x:c>
      <x:c r="B2" s="36"/>
      <x:c r="C2" s="36"/>
      <x:c r="D2" s="36"/>
      <x:c r="E2" s="36"/>
      <x:c r="F2" s="36"/>
    </x:row>
    <x:row r="3">
      <x:c r="A3" s="38"/>
      <x:c r="B3" s="38"/>
      <x:c r="C3" s="38"/>
      <x:c r="D3" s="38"/>
      <x:c r="E3" s="38"/>
      <x:c r="F3" s="38"/>
    </x:row>
    <x:row r="4">
      <x:c r="A4" s="39" t="str">
        <x:v>Check</x:v>
      </x:c>
      <x:c r="B4" s="45" t="str">
        <x:v>Observed</x:v>
      </x:c>
      <x:c r="C4" s="45" t="str">
        <x:v>Expected</x:v>
      </x:c>
      <x:c r="D4" s="45" t="str">
        <x:v>Result</x:v>
      </x:c>
      <x:c r="E4" s="45" t="str">
        <x:v>Verified ICT</x:v>
      </x:c>
      <x:c r="F4" s="45" t="str">
        <x:v>Evidence / source</x:v>
      </x:c>
    </x:row>
    <x:row r="5">
      <x:c r="A5" s="46" t="str">
        <x:v>Public REST read</x:v>
      </x:c>
      <x:c r="B5" s="47" t="n">
        <x:v>200</x:v>
      </x:c>
      <x:c r="C5" s="47" t="n">
        <x:v>200</x:v>
      </x:c>
      <x:c r="D5" s="47" t="str">
        <x:f>IF(B5=C5,"PASS","FAIL")</x:f>
        <x:v>PASS</x:v>
      </x:c>
      <x:c r="E5" s="56" t="n">
        <x:v>46252.59866898148</x:v>
      </x:c>
      <x:c r="F5" s="47" t="str">
        <x:v>https://yiyoagypmcnatdauuadf.supabase.co/rest/v1/water_tracker_sites</x:v>
      </x:c>
    </x:row>
    <x:row r="6">
      <x:c r="A6" s="46" t="str">
        <x:v>Public REST write probe</x:v>
      </x:c>
      <x:c r="B6" s="47" t="n">
        <x:v>401</x:v>
      </x:c>
      <x:c r="C6" s="47" t="str">
        <x:v>401 or 403</x:v>
      </x:c>
      <x:c r="D6" s="47" t="str">
        <x:f>IF(OR(B6=401,B6=403),"PASS","FAIL")</x:f>
        <x:v>PASS</x:v>
      </x:c>
      <x:c r="E6" s="56" t="n">
        <x:v>46252.59866898148</x:v>
      </x:c>
      <x:c r="F6" s="47" t="str">
        <x:v>https://yiyoagypmcnatdauuadf.supabase.co/rest/v1/water_tracker_ingestion_runs</x:v>
      </x:c>
    </x:row>
    <x:row r="7">
      <x:c r="A7" s="46" t="str">
        <x:v>Poll without secret</x:v>
      </x:c>
      <x:c r="B7" s="47" t="n">
        <x:v>401</x:v>
      </x:c>
      <x:c r="C7" s="47" t="n">
        <x:v>401</x:v>
      </x:c>
      <x:c r="D7" s="47" t="str">
        <x:f>IF(B7=C7,"PASS","FAIL")</x:f>
        <x:v>PASS</x:v>
      </x:c>
      <x:c r="E7" s="56" t="n">
        <x:v>46252.59866898148</x:v>
      </x:c>
      <x:c r="F7" s="47" t="str">
        <x:v>https://yiyoagypmcnatdauuadf.supabase.co/functions/v1/water-tracker-poll</x:v>
      </x:c>
    </x:row>
    <x:row r="8">
      <x:c r="A8" s="46" t="str">
        <x:v>Backfill without secret</x:v>
      </x:c>
      <x:c r="B8" s="47" t="n">
        <x:v>401</x:v>
      </x:c>
      <x:c r="C8" s="47" t="n">
        <x:v>401</x:v>
      </x:c>
      <x:c r="D8" s="47" t="str">
        <x:f>IF(B8=C8,"PASS","FAIL")</x:f>
        <x:v>PASS</x:v>
      </x:c>
      <x:c r="E8" s="56" t="n">
        <x:v>46252.59866898148</x:v>
      </x:c>
      <x:c r="F8" s="47" t="str">
        <x:v>https://yiyoagypmcnatdauuadf.supabase.co/functions/v1/water-tracker-backfill</x:v>
      </x:c>
    </x:row>
    <x:row r="9">
      <x:c r="A9" s="46" t="str">
        <x:v>Backfill wrong method</x:v>
      </x:c>
      <x:c r="B9" s="47" t="n">
        <x:v>405</x:v>
      </x:c>
      <x:c r="C9" s="47" t="n">
        <x:v>405</x:v>
      </x:c>
      <x:c r="D9" s="47" t="str">
        <x:f>IF(B9=C9,"PASS","FAIL")</x:f>
        <x:v>PASS</x:v>
      </x:c>
      <x:c r="E9" s="56" t="n">
        <x:v>46252.59866898148</x:v>
      </x:c>
      <x:c r="F9" s="47" t="str">
        <x:v>https://yiyoagypmcnatdauuadf.supabase.co/functions/v1/water-tracker-backfill</x:v>
      </x:c>
    </x:row>
    <x:row r="10">
      <x:c r="A10" s="46" t="str">
        <x:v>Water tables with RLS</x:v>
      </x:c>
      <x:c r="B10" s="47" t="n">
        <x:v>4</x:v>
      </x:c>
      <x:c r="C10" s="47" t="n">
        <x:v>4</x:v>
      </x:c>
      <x:c r="D10" s="47" t="str">
        <x:f>IF(B10=C10,"PASS","FAIL")</x:f>
        <x:v>PASS</x:v>
      </x:c>
      <x:c r="E10" s="56" t="n">
        <x:v>46252.59866898148</x:v>
      </x:c>
      <x:c r="F10" s="47" t="str">
        <x:v>supabase/migrations/20260818070605_water_tracker_realtime_readonly_v3.sql</x:v>
      </x:c>
    </x:row>
    <x:row r="11">
      <x:c r="A11" s="46" t="str">
        <x:v>Water tables in Realtime publication</x:v>
      </x:c>
      <x:c r="B11" s="47" t="n">
        <x:v>4</x:v>
      </x:c>
      <x:c r="C11" s="47" t="n">
        <x:v>4</x:v>
      </x:c>
      <x:c r="D11" s="47" t="str">
        <x:f>IF(B11=C11,"PASS","FAIL")</x:f>
        <x:v>PASS</x:v>
      </x:c>
      <x:c r="E11" s="56" t="n">
        <x:v>46252.59866898148</x:v>
      </x:c>
      <x:c r="F11" s="47" t="str">
        <x:v>supabase/migrations/20260818070605_water_tracker_realtime_readonly_v3.sql</x:v>
      </x:c>
    </x:row>
    <x:row r="12">
      <x:c r="A12" s="46" t="str">
        <x:v>Authorized poll status</x:v>
      </x:c>
      <x:c r="B12" s="47" t="str">
        <x:v>success</x:v>
      </x:c>
      <x:c r="C12" s="47" t="str">
        <x:v>success</x:v>
      </x:c>
      <x:c r="D12" s="47" t="str">
        <x:f>IF(B12=C12,"PASS","FAIL")</x:f>
        <x:v>PASS</x:v>
      </x:c>
      <x:c r="E12" s="56" t="n">
        <x:v>46252.593819444446</x:v>
      </x:c>
      <x:c r="F12" s="47" t="str">
        <x:v>water_tracker_ingestion_runs id=1</x:v>
      </x:c>
    </x:row>
    <x:row r="13">
      <x:c r="A13" s="46" t="str">
        <x:v>Authorized poll processed sites</x:v>
      </x:c>
      <x:c r="B13" s="47" t="n">
        <x:v>5</x:v>
      </x:c>
      <x:c r="C13" s="47" t="n">
        <x:f>COUNTA('Source Registry'!A10:A14)</x:f>
        <x:v>5</x:v>
      </x:c>
      <x:c r="D13" s="47" t="str">
        <x:f>IF(B13=C13,"PASS","FAIL")</x:f>
        <x:v>PASS</x:v>
      </x:c>
      <x:c r="E13" s="56" t="n">
        <x:v>46252.593819444446</x:v>
      </x:c>
      <x:c r="F13" s="47" t="str">
        <x:v>water_tracker_ingestion_runs id=1</x:v>
      </x:c>
    </x:row>
    <x:row r="14">
      <x:c r="A14" s="46" t="str">
        <x:v>Authorized poll skipped sites</x:v>
      </x:c>
      <x:c r="B14" s="47" t="n">
        <x:v>0</x:v>
      </x:c>
      <x:c r="C14" s="47" t="n">
        <x:v>0</x:v>
      </x:c>
      <x:c r="D14" s="47" t="str">
        <x:f>IF(B14=C14,"PASS","FAIL")</x:f>
        <x:v>PASS</x:v>
      </x:c>
      <x:c r="E14" s="56" t="n">
        <x:v>46252.593819444446</x:v>
      </x:c>
      <x:c r="F14" s="47" t="str">
        <x:v>water_tracker_ingestion_runs id=1</x:v>
      </x:c>
    </x:row>
    <x:row r="15">
      <x:c r="A15" s="46" t="str">
        <x:v>Poll Edge Function version</x:v>
      </x:c>
      <x:c r="B15" s="47" t="n">
        <x:v>3</x:v>
      </x:c>
      <x:c r="C15" s="47" t="n">
        <x:v>3</x:v>
      </x:c>
      <x:c r="D15" s="47" t="str">
        <x:f>IF(B15=C15,"PASS","FAIL")</x:f>
        <x:v>PASS</x:v>
      </x:c>
      <x:c r="E15" s="56" t="n">
        <x:v>46252.59866898148</x:v>
      </x:c>
      <x:c r="F15" s="47" t="str">
        <x:v>Supabase Edge Functions deployment</x:v>
      </x:c>
    </x:row>
    <x:row r="16">
      <x:c r="A16" s="46" t="str">
        <x:v>Backfill Edge Function version</x:v>
      </x:c>
      <x:c r="B16" s="47" t="n">
        <x:v>3</x:v>
      </x:c>
      <x:c r="C16" s="47" t="n">
        <x:v>3</x:v>
      </x:c>
      <x:c r="D16" s="47" t="str">
        <x:f>IF(B16=C16,"PASS","FAIL")</x:f>
        <x:v>PASS</x:v>
      </x:c>
      <x:c r="E16" s="56" t="n">
        <x:v>46252.59866898148</x:v>
      </x:c>
      <x:c r="F16" s="47" t="str">
        <x:v>Supabase Edge Functions deployment</x:v>
      </x:c>
    </x:row>
  </x:sheetData>
  <x:mergeCells>
    <x:mergeCell ref="A1:F1"/>
    <x:mergeCell ref="A2:F2"/>
  </x:mergeCells>
  <x:conditionalFormatting sqref="D5:D16">
    <x:cfRule type="containsText" dxfId="7" priority="1" operator="containsText" text="PASS"/>
    <x:cfRule type="containsText" dxfId="8" priority="2" operator="containsText" text="FAIL"/>
  </x:conditionalFormatting>
  <x:pageMargins left="0.7" right="0.7" top="0.75" bottom="0.75" header="0.3" footer="0.3"/>
  <x:tableParts count="1">
    <x:tablePart xmlns:r="http://schemas.openxmlformats.org/officeDocument/2006/relationships" r:id="R9ee276deeffa4352"/>
  </x:tableParts>
</x:worksheet>
</file>